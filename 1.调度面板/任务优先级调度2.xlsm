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任务调度仓库\MytasksDitash\1.调度面板\"/>
    </mc:Choice>
  </mc:AlternateContent>
  <xr:revisionPtr revIDLastSave="0" documentId="13_ncr:1_{B1645BC3-B96F-4FB7-A09F-9F06ADAD36F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总体规划" sheetId="1" r:id="rId1"/>
    <sheet name="注册电气" sheetId="4" r:id="rId2"/>
    <sheet name="kernel学习" sheetId="3" r:id="rId3"/>
    <sheet name="Sydney项目" sheetId="2" r:id="rId4"/>
    <sheet name="其他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6" i="1"/>
  <c r="I6" i="5"/>
  <c r="I18" i="5" s="1"/>
  <c r="I17" i="1" s="1"/>
  <c r="I18" i="1" s="1"/>
  <c r="L9" i="1" s="1"/>
  <c r="I6" i="4"/>
  <c r="I18" i="4" s="1"/>
  <c r="F17" i="1"/>
  <c r="G17" i="1"/>
  <c r="H17" i="1" s="1"/>
  <c r="F16" i="1"/>
  <c r="G16" i="1" s="1"/>
  <c r="H16" i="1" s="1"/>
  <c r="F6" i="4"/>
  <c r="G6" i="4" s="1"/>
  <c r="F15" i="1"/>
  <c r="F7" i="1"/>
  <c r="F8" i="1"/>
  <c r="F9" i="1"/>
  <c r="F10" i="1"/>
  <c r="F11" i="1"/>
  <c r="F12" i="1"/>
  <c r="F13" i="1"/>
  <c r="F14" i="1"/>
  <c r="G14" i="1" s="1"/>
  <c r="H14" i="1" s="1"/>
  <c r="F6" i="1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G15" i="1" l="1"/>
  <c r="H15" i="1" s="1"/>
  <c r="G7" i="1"/>
  <c r="H7" i="1" s="1"/>
  <c r="G6" i="1"/>
  <c r="G10" i="1"/>
  <c r="H10" i="1" s="1"/>
  <c r="G13" i="1"/>
  <c r="H13" i="1" s="1"/>
  <c r="G9" i="1"/>
  <c r="H9" i="1" s="1"/>
  <c r="G12" i="1"/>
  <c r="H12" i="1" s="1"/>
  <c r="G8" i="1"/>
  <c r="H8" i="1" s="1"/>
  <c r="G11" i="1"/>
  <c r="I18" i="3"/>
  <c r="I18" i="2"/>
  <c r="I11" i="1" s="1"/>
  <c r="H6" i="1" l="1"/>
  <c r="G18" i="1"/>
  <c r="H11" i="1"/>
  <c r="H7" i="2" s="1"/>
  <c r="H6" i="3"/>
  <c r="H7" i="3"/>
  <c r="H6" i="4" l="1"/>
  <c r="H18" i="1"/>
  <c r="H8" i="2"/>
  <c r="H6" i="2"/>
  <c r="H9" i="2"/>
</calcChain>
</file>

<file path=xl/sharedStrings.xml><?xml version="1.0" encoding="utf-8"?>
<sst xmlns="http://schemas.openxmlformats.org/spreadsheetml/2006/main" count="110" uniqueCount="61">
  <si>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</si>
  <si>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</si>
  <si>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</si>
  <si>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</si>
  <si>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</si>
  <si>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</si>
  <si>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</si>
  <si>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</si>
  <si>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</si>
  <si>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</si>
  <si>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</si>
  <si>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</si>
  <si>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</si>
  <si>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</si>
  <si>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</si>
  <si>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</si>
  <si>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</si>
  <si>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</si>
  <si>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</si>
  <si>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</si>
  <si>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</si>
  <si>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</si>
  <si>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</si>
  <si>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</si>
  <si>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</si>
  <si>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</si>
  <si>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</si>
  <si>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</si>
  <si>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</si>
  <si>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</si>
  <si>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</si>
  <si>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</si>
  <si>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</si>
  <si>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</si>
  <si>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</si>
  <si>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</si>
  <si>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</si>
  <si>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</si>
  <si>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</si>
  <si>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</si>
  <si>
    <t>材料力学</t>
    <phoneticPr fontId="1" type="noConversion"/>
  </si>
  <si>
    <t>page分配</t>
    <phoneticPr fontId="1" type="noConversion"/>
  </si>
  <si>
    <t>从零开始</t>
    <phoneticPr fontId="1" type="noConversion"/>
  </si>
  <si>
    <t>1.读代码</t>
  </si>
  <si>
    <t>2.git了案例</t>
  </si>
  <si>
    <t>搭建了git仓库</t>
  </si>
  <si>
    <t>建立了git仓库</t>
  </si>
  <si>
    <t>网络安全</t>
    <phoneticPr fontId="1" type="noConversion"/>
  </si>
  <si>
    <t>其他</t>
    <phoneticPr fontId="1" type="noConversion"/>
  </si>
  <si>
    <t>其他一些琐事</t>
    <phoneticPr fontId="1" type="noConversion"/>
  </si>
  <si>
    <t>github单人</t>
    <phoneticPr fontId="1" type="noConversion"/>
  </si>
  <si>
    <t>github多人</t>
    <phoneticPr fontId="1" type="noConversion"/>
  </si>
  <si>
    <t>理论力学</t>
    <phoneticPr fontId="1" type="noConversion"/>
  </si>
  <si>
    <t>现已用时长</t>
    <phoneticPr fontId="1" type="noConversion"/>
  </si>
  <si>
    <t>没有身体了
一切都是0</t>
    <phoneticPr fontId="1" type="noConversion"/>
  </si>
  <si>
    <t>音乐自由</t>
    <phoneticPr fontId="1" type="noConversion"/>
  </si>
  <si>
    <t>表达自由</t>
    <phoneticPr fontId="1" type="noConversion"/>
  </si>
  <si>
    <t>耗时少
却能带来回报</t>
    <phoneticPr fontId="1" type="noConversion"/>
  </si>
  <si>
    <t>该做的事做好</t>
    <phoneticPr fontId="1" type="noConversion"/>
  </si>
  <si>
    <t>git的使用</t>
    <phoneticPr fontId="1" type="noConversion"/>
  </si>
  <si>
    <t>github更新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</si>
</sst>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177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总体规划!$I$6:$I$17</c:f>
              <c:numCache>
                <c:formatCode>0.0_ 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总体规划!$H$6:$H$17</c:f>
              <c:numCache>
                <c:formatCode>0.0_ </c:formatCode>
                <c:ptCount val="12"/>
                <c:pt idx="0">
                  <c:v>1.7902813299232736</c:v>
                </c:pt>
                <c:pt idx="1">
                  <c:v>2.8132992327365729</c:v>
                </c:pt>
                <c:pt idx="2">
                  <c:v>6.905370843989771</c:v>
                </c:pt>
                <c:pt idx="3">
                  <c:v>5.1150895140664971</c:v>
                </c:pt>
                <c:pt idx="4">
                  <c:v>3.9641943734015346</c:v>
                </c:pt>
                <c:pt idx="5">
                  <c:v>3.3248081841432229</c:v>
                </c:pt>
                <c:pt idx="6">
                  <c:v>3.1969309462915603</c:v>
                </c:pt>
                <c:pt idx="7">
                  <c:v>5.7544757033248084</c:v>
                </c:pt>
                <c:pt idx="8">
                  <c:v>3.5805626598465472</c:v>
                </c:pt>
                <c:pt idx="9">
                  <c:v>3.4526854219948855</c:v>
                </c:pt>
                <c:pt idx="10">
                  <c:v>5.1150895140664971</c:v>
                </c:pt>
                <c:pt idx="11">
                  <c:v>4.9872122762148337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776286</xdr:colOff>
      <xdr:row>19</xdr:row>
      <xdr:rowOff>176211</xdr:rowOff>
    </xdr:from>
    <xdr:to>
      <xdr:col>7</xdr:col>
      <xdr:colOff>1123950</xdr:colOff>
      <xdr:row>41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F1AF678-A6FB-4A0B-A22D-D0769EC575BE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6F65438-52D5-439F-8E99-2DF1A5F13EEE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049F2F3-3FB7-4F6B-AF50-08FEDBE2556E}"/>
            </a:ext>
          </a:extLst>
        </xdr:cNvPr>
        <xdr:cNvCxnSpPr/>
      </xdr:nvCxnSpPr>
      <xdr:spPr>
        <a:xfrm>
          <a:off x="19050" y="371475"/>
          <a:ext cx="666750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817D1FCE-89F7-42FF-868E-90C19516BC85}"/>
            </a:ext>
          </a:extLst>
        </xdr:cNvPr>
        <xdr:cNvCxnSpPr/>
      </xdr:nvCxnSpPr>
      <xdr:spPr>
        <a:xfrm>
          <a:off x="0" y="371475"/>
          <a:ext cx="685800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abSelected="1" topLeftCell="A10" workbookViewId="0">
      <selection activeCell="J17" sqref="J17"/>
    </sheetView>
  </sheetViews>
  <sheetFormatPr defaultRowHeight="14.25" x14ac:dyDescent="0.2"/>
  <cols>
    <col min="1" max="1" width="15.625" customWidth="1"/>
    <col min="6" max="6" width="9" style="26"/>
    <col min="7" max="7" width="14.25" style="24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">
      <c r="A2" s="36"/>
      <c r="B2" s="37"/>
      <c r="C2" s="37"/>
      <c r="D2" s="37"/>
      <c r="E2" s="37"/>
      <c r="F2" s="37"/>
      <c r="G2" s="37"/>
      <c r="H2" s="37"/>
      <c r="I2" s="37"/>
      <c r="J2" s="37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29" t="s">
        <v>13</v>
      </c>
      <c r="H3" s="30" t="s">
        <v>22</v>
      </c>
      <c r="I3" s="38" t="s">
        <v>39</v>
      </c>
      <c r="J3" s="32" t="s">
        <v>25</v>
      </c>
    </row>
    <row r="4" spans="1:12" ht="24.75" customHeight="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29"/>
      <c r="H4" s="31"/>
      <c r="I4" s="39"/>
      <c r="J4" s="33"/>
    </row>
    <row r="5" spans="1:12" x14ac:dyDescent="0.2">
      <c r="A5" s="5" t="s">
        <v>0</v>
      </c>
      <c r="B5" s="33"/>
      <c r="C5" s="33"/>
      <c r="D5" s="33"/>
      <c r="E5" s="33"/>
      <c r="F5" s="29"/>
      <c r="G5" s="29"/>
      <c r="H5" s="31"/>
      <c r="I5" s="40"/>
      <c r="J5" s="33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21">
        <f>(B6*$B$3+C6*$C$3+D6*$D$3+E6*$E$3)/($B$3+$C$3+$D$3+$E$3)</f>
        <v>2.333333333333333</v>
      </c>
      <c r="G6" s="21">
        <f>F6/SUM(F:F)-COUNTBLANK(F:F)*$F$1</f>
        <v>3.5805626598465472E-2</v>
      </c>
      <c r="H6" s="11">
        <f>G6*$L$7</f>
        <v>1.7902813299232736</v>
      </c>
      <c r="I6" s="11">
        <f>kernel学习!I18</f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21">
        <f t="shared" ref="F7:F17" si="0">(B7*$B$3+C7*$C$3+D7*$D$3+E7*$E$3)/($B$3+$C$3+$D$3+$E$3)</f>
        <v>3.6666666666666665</v>
      </c>
      <c r="G7" s="21">
        <f t="shared" ref="G7:G17" si="1">F7/SUM(F:F)-COUNTBLANK(F:F)*$F$1</f>
        <v>5.6265984654731462E-2</v>
      </c>
      <c r="H7" s="11">
        <f t="shared" ref="H7:H17" si="2">G7*$L$7</f>
        <v>2.8132992327365729</v>
      </c>
      <c r="I7" s="11">
        <f>注册电气!I18</f>
        <v>0</v>
      </c>
      <c r="J7" s="10" t="s">
        <v>26</v>
      </c>
      <c r="L7">
        <v>50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21">
        <f t="shared" si="0"/>
        <v>9</v>
      </c>
      <c r="G8" s="21">
        <f t="shared" si="1"/>
        <v>0.13810741687979541</v>
      </c>
      <c r="H8" s="11">
        <f t="shared" si="2"/>
        <v>6.905370843989771</v>
      </c>
      <c r="I8" s="11">
        <v>3</v>
      </c>
      <c r="J8" s="6" t="s">
        <v>58</v>
      </c>
      <c r="L8" t="s">
        <v>53</v>
      </c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21">
        <f t="shared" si="0"/>
        <v>6.6666666666666661</v>
      </c>
      <c r="G9" s="21">
        <f t="shared" si="1"/>
        <v>0.10230179028132994</v>
      </c>
      <c r="H9" s="11">
        <f t="shared" si="2"/>
        <v>5.1150895140664971</v>
      </c>
      <c r="I9" s="11">
        <v>0</v>
      </c>
      <c r="J9" s="10" t="s">
        <v>27</v>
      </c>
      <c r="L9" s="28">
        <f>I18</f>
        <v>10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21">
        <f t="shared" si="0"/>
        <v>5.1666666666666661</v>
      </c>
      <c r="G10" s="21">
        <f t="shared" si="1"/>
        <v>7.9283887468030695E-2</v>
      </c>
      <c r="H10" s="11">
        <f t="shared" si="2"/>
        <v>3.9641943734015346</v>
      </c>
      <c r="I10" s="11">
        <v>0</v>
      </c>
      <c r="J10" s="10" t="s">
        <v>57</v>
      </c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21">
        <f t="shared" si="0"/>
        <v>4.333333333333333</v>
      </c>
      <c r="G11" s="21">
        <f t="shared" si="1"/>
        <v>6.6496163682864456E-2</v>
      </c>
      <c r="H11" s="11">
        <f t="shared" si="2"/>
        <v>3.3248081841432229</v>
      </c>
      <c r="I11" s="11">
        <f>Sydney项目!I18</f>
        <v>1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21">
        <f t="shared" si="0"/>
        <v>4.1666666666666661</v>
      </c>
      <c r="G12" s="21">
        <f t="shared" si="1"/>
        <v>6.3938618925831206E-2</v>
      </c>
      <c r="H12" s="11">
        <f t="shared" si="2"/>
        <v>3.1969309462915603</v>
      </c>
      <c r="I12" s="11">
        <v>0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21">
        <f t="shared" si="0"/>
        <v>7.4999999999999991</v>
      </c>
      <c r="G13" s="21">
        <f t="shared" si="1"/>
        <v>0.11508951406649617</v>
      </c>
      <c r="H13" s="11">
        <f t="shared" si="2"/>
        <v>5.7544757033248084</v>
      </c>
      <c r="I13" s="11">
        <v>0</v>
      </c>
      <c r="J13" s="10" t="s">
        <v>54</v>
      </c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21">
        <f t="shared" si="0"/>
        <v>4.6666666666666661</v>
      </c>
      <c r="G14" s="21">
        <f t="shared" si="1"/>
        <v>7.1611253196930943E-2</v>
      </c>
      <c r="H14" s="11">
        <f t="shared" si="2"/>
        <v>3.5805626598465472</v>
      </c>
      <c r="I14" s="11">
        <v>0</v>
      </c>
      <c r="J14" s="6" t="s">
        <v>55</v>
      </c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21">
        <f t="shared" si="0"/>
        <v>4.5</v>
      </c>
      <c r="G15" s="21">
        <f t="shared" si="1"/>
        <v>6.9053708439897707E-2</v>
      </c>
      <c r="H15" s="11">
        <f t="shared" si="2"/>
        <v>3.4526854219948855</v>
      </c>
      <c r="I15" s="11">
        <v>0</v>
      </c>
      <c r="J15" s="6" t="s">
        <v>56</v>
      </c>
    </row>
    <row r="16" spans="1:12" ht="32.25" customHeight="1" x14ac:dyDescent="0.2">
      <c r="A16" s="6" t="s">
        <v>47</v>
      </c>
      <c r="B16" s="6">
        <v>8</v>
      </c>
      <c r="C16" s="6">
        <v>7</v>
      </c>
      <c r="D16" s="6">
        <v>6</v>
      </c>
      <c r="E16" s="6">
        <v>8</v>
      </c>
      <c r="F16" s="21">
        <f t="shared" si="0"/>
        <v>6.6666666666666661</v>
      </c>
      <c r="G16" s="21">
        <f t="shared" si="1"/>
        <v>0.10230179028132994</v>
      </c>
      <c r="H16" s="11">
        <f t="shared" si="2"/>
        <v>5.1150895140664971</v>
      </c>
      <c r="I16" s="11">
        <v>0</v>
      </c>
      <c r="J16" s="6"/>
    </row>
    <row r="17" spans="1:10" ht="32.25" customHeight="1" thickBot="1" x14ac:dyDescent="0.25">
      <c r="A17" s="3" t="s">
        <v>48</v>
      </c>
      <c r="B17" s="3">
        <v>1</v>
      </c>
      <c r="C17" s="3">
        <v>10</v>
      </c>
      <c r="D17" s="3">
        <v>0</v>
      </c>
      <c r="E17" s="3">
        <v>10</v>
      </c>
      <c r="F17" s="22">
        <f t="shared" si="0"/>
        <v>6.4999999999999991</v>
      </c>
      <c r="G17" s="22">
        <f t="shared" si="1"/>
        <v>9.9744245524296671E-2</v>
      </c>
      <c r="H17" s="12">
        <f t="shared" si="2"/>
        <v>4.9872122762148337</v>
      </c>
      <c r="I17" s="12">
        <f>其他!I18</f>
        <v>3</v>
      </c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25"/>
      <c r="G18" s="23">
        <f>SUM(G6:G17)</f>
        <v>1</v>
      </c>
      <c r="H18" s="13">
        <f>SUM(H6:H17)</f>
        <v>50.000000000000007</v>
      </c>
      <c r="I18" s="27">
        <f>SUM(I6:I17)</f>
        <v>10</v>
      </c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5E80-51F0-4B6D-8D14-C732A3C86529}">
  <sheetPr codeName="Sheet4"/>
  <dimension ref="A1:K18"/>
  <sheetViews>
    <sheetView workbookViewId="0">
      <selection activeCell="I18" sqref="I18"/>
    </sheetView>
  </sheetViews>
  <sheetFormatPr defaultRowHeight="14.25" x14ac:dyDescent="0.2"/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40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1</v>
      </c>
      <c r="H6" s="17">
        <f>总体规划!H6*G6</f>
        <v>1.7902813299232736</v>
      </c>
      <c r="I6" s="19">
        <f>COUNTA(J6:R6)</f>
        <v>0</v>
      </c>
    </row>
    <row r="7" spans="1:11" x14ac:dyDescent="0.2">
      <c r="A7" s="6" t="s">
        <v>52</v>
      </c>
      <c r="B7" s="6"/>
      <c r="C7" s="6"/>
      <c r="D7" s="6"/>
      <c r="E7" s="6"/>
      <c r="F7" s="6"/>
      <c r="G7" s="9"/>
      <c r="H7" s="17"/>
      <c r="I7" s="19"/>
    </row>
    <row r="8" spans="1:11" x14ac:dyDescent="0.2">
      <c r="A8" s="6"/>
      <c r="B8" s="6"/>
      <c r="C8" s="6"/>
      <c r="D8" s="6"/>
      <c r="E8" s="6"/>
      <c r="F8" s="6"/>
      <c r="G8" s="9"/>
      <c r="H8" s="17"/>
      <c r="I8" s="19"/>
    </row>
    <row r="9" spans="1:11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I18" sqref="I18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  <col min="10" max="10" width="17.3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41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0.45945945945945948</v>
      </c>
      <c r="H6" s="17">
        <f>总体规划!H6*G6</f>
        <v>0.82256169212690955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 t="s">
        <v>42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0.54054054054054057</v>
      </c>
      <c r="H7" s="17">
        <f>总体规划!H6*G7</f>
        <v>0.96771963779636416</v>
      </c>
      <c r="I7" s="19">
        <f>COUNTA(J7:R7)</f>
        <v>1</v>
      </c>
      <c r="J7" t="s">
        <v>45</v>
      </c>
    </row>
    <row r="8" spans="1:11" x14ac:dyDescent="0.2">
      <c r="A8" s="6"/>
      <c r="B8" s="6"/>
      <c r="C8" s="6"/>
      <c r="D8" s="6"/>
      <c r="E8" s="6"/>
      <c r="F8" s="6"/>
      <c r="G8" s="9"/>
      <c r="H8" s="17"/>
      <c r="I8" s="19"/>
    </row>
    <row r="9" spans="1:11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zoomScaleNormal="100" workbookViewId="0">
      <selection activeCell="I12" sqref="I12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总体规划!H11*G6</f>
        <v>0.77961019490254879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总体规划!H11*G7</f>
        <v>0.91718846459123393</v>
      </c>
      <c r="I7" s="19">
        <f>COUNTA(J7:R7)</f>
        <v>1</v>
      </c>
      <c r="J7" t="s">
        <v>46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总体规划!H11*G8</f>
        <v>0.80253990651732965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总体规划!H11*G9</f>
        <v>0.82546961813211051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0FF1-5C6E-46EF-9238-7AB7E91D9D0C}">
  <sheetPr codeName="Sheet5"/>
  <dimension ref="A1:L18"/>
  <sheetViews>
    <sheetView workbookViewId="0">
      <selection activeCell="L7" sqref="L7"/>
    </sheetView>
  </sheetViews>
  <sheetFormatPr defaultRowHeight="14.25" x14ac:dyDescent="0.2"/>
  <cols>
    <col min="1" max="1" width="15.125" customWidth="1"/>
    <col min="8" max="8" width="11.125" customWidth="1"/>
    <col min="10" max="10" width="11.375" customWidth="1"/>
  </cols>
  <sheetData>
    <row r="1" spans="1:12" x14ac:dyDescent="0.2">
      <c r="A1" s="33" t="s">
        <v>49</v>
      </c>
      <c r="B1" s="33"/>
      <c r="C1" s="33"/>
      <c r="D1" s="33"/>
      <c r="E1" s="33"/>
      <c r="F1" s="33"/>
      <c r="G1" s="33"/>
      <c r="H1" s="2"/>
      <c r="I1" s="18"/>
    </row>
    <row r="2" spans="1:12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2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2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2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2" x14ac:dyDescent="0.2">
      <c r="A6" s="6" t="s">
        <v>59</v>
      </c>
      <c r="B6" s="6"/>
      <c r="C6" s="6"/>
      <c r="D6" s="6"/>
      <c r="E6" s="6"/>
      <c r="F6" s="6"/>
      <c r="G6" s="9"/>
      <c r="H6" s="17"/>
      <c r="I6" s="19">
        <f>COUNTA(J6:R6)</f>
        <v>3</v>
      </c>
      <c r="J6" t="s">
        <v>50</v>
      </c>
      <c r="K6" t="s">
        <v>51</v>
      </c>
      <c r="L6" t="s">
        <v>60</v>
      </c>
    </row>
    <row r="7" spans="1:12" x14ac:dyDescent="0.2">
      <c r="A7" s="6"/>
      <c r="B7" s="6"/>
      <c r="C7" s="6"/>
      <c r="D7" s="6"/>
      <c r="E7" s="6"/>
      <c r="F7" s="6"/>
      <c r="G7" s="9"/>
      <c r="H7" s="17"/>
      <c r="I7" s="19"/>
    </row>
    <row r="8" spans="1:12" x14ac:dyDescent="0.2">
      <c r="A8" s="6"/>
      <c r="B8" s="6"/>
      <c r="C8" s="6"/>
      <c r="D8" s="6"/>
      <c r="E8" s="6"/>
      <c r="F8" s="6"/>
      <c r="G8" s="9"/>
      <c r="H8" s="17"/>
      <c r="I8" s="19"/>
    </row>
    <row r="9" spans="1:12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2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2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2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2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2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2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2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总体规划</vt:lpstr>
      <vt:lpstr>注册电气</vt:lpstr>
      <vt:lpstr>kernel学习</vt:lpstr>
      <vt:lpstr>Sydney项目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2023-02-23T14:32:01Z</dcterms:modified>
</cp:coreProperties>
</file>