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0664\Desktop\人工智能\任务调度仓库\MytasksDitash\1.调度面板\"/>
    </mc:Choice>
  </mc:AlternateContent>
  <xr:revisionPtr revIDLastSave="0" documentId="13_ncr:1_{B7BC7334-EA5C-45DD-AF4B-37BFC4E01BE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总体规划" sheetId="1" r:id="rId1"/>
    <sheet name="kernel学习" sheetId="3" r:id="rId2"/>
    <sheet name="注册电气" sheetId="4" r:id="rId3"/>
    <sheet name="Sydney项目" sheetId="2" r:id="rId4"/>
    <sheet name="网络安全" sheetId="6" r:id="rId5"/>
    <sheet name="其他" sheetId="5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  <c r="H8" i="2"/>
  <c r="H9" i="2"/>
  <c r="H6" i="2"/>
  <c r="H6" i="3"/>
  <c r="H7" i="3"/>
  <c r="H6" i="4"/>
  <c r="H6" i="6"/>
  <c r="I6" i="6"/>
  <c r="I18" i="6" s="1"/>
  <c r="I16" i="1" s="1"/>
  <c r="F6" i="6"/>
  <c r="G6" i="6" s="1"/>
  <c r="I7" i="1"/>
  <c r="I6" i="1"/>
  <c r="I6" i="5"/>
  <c r="I18" i="5" s="1"/>
  <c r="I17" i="1" s="1"/>
  <c r="I6" i="4"/>
  <c r="I18" i="4" s="1"/>
  <c r="F17" i="1"/>
  <c r="G17" i="1"/>
  <c r="H17" i="1" s="1"/>
  <c r="F16" i="1"/>
  <c r="G16" i="1" s="1"/>
  <c r="H16" i="1" s="1"/>
  <c r="F6" i="4"/>
  <c r="G6" i="4" s="1"/>
  <c r="F15" i="1"/>
  <c r="F7" i="1"/>
  <c r="F8" i="1"/>
  <c r="F9" i="1"/>
  <c r="F10" i="1"/>
  <c r="F11" i="1"/>
  <c r="F12" i="1"/>
  <c r="F13" i="1"/>
  <c r="F14" i="1"/>
  <c r="G14" i="1" s="1"/>
  <c r="H14" i="1" s="1"/>
  <c r="F6" i="1"/>
  <c r="I7" i="3"/>
  <c r="G7" i="3"/>
  <c r="F7" i="3"/>
  <c r="I6" i="3"/>
  <c r="G6" i="3"/>
  <c r="F6" i="3"/>
  <c r="I8" i="2"/>
  <c r="I9" i="2"/>
  <c r="G9" i="2"/>
  <c r="G8" i="2"/>
  <c r="G7" i="2"/>
  <c r="G6" i="2"/>
  <c r="I7" i="2"/>
  <c r="I6" i="2"/>
  <c r="F9" i="2"/>
  <c r="F8" i="2"/>
  <c r="F7" i="2"/>
  <c r="F6" i="2"/>
  <c r="I18" i="1" l="1"/>
  <c r="L9" i="1" s="1"/>
  <c r="G15" i="1"/>
  <c r="H15" i="1" s="1"/>
  <c r="G7" i="1"/>
  <c r="H7" i="1" s="1"/>
  <c r="G6" i="1"/>
  <c r="G10" i="1"/>
  <c r="H10" i="1" s="1"/>
  <c r="G13" i="1"/>
  <c r="H13" i="1" s="1"/>
  <c r="G9" i="1"/>
  <c r="H9" i="1" s="1"/>
  <c r="G12" i="1"/>
  <c r="H12" i="1" s="1"/>
  <c r="G8" i="1"/>
  <c r="H8" i="1" s="1"/>
  <c r="G11" i="1"/>
  <c r="I18" i="3"/>
  <c r="I18" i="2"/>
  <c r="I11" i="1" s="1"/>
  <c r="H6" i="1" l="1"/>
  <c r="G18" i="1"/>
  <c r="H11" i="1"/>
  <c r="H18" i="1" l="1"/>
</calcChain>
</file>

<file path=xl/sharedStrings.xml><?xml version="1.0" encoding="utf-8"?>
<sst xmlns="http://schemas.openxmlformats.org/spreadsheetml/2006/main" count="129" uniqueCount="64">
  <si>
    <t>项目</t>
    <phoneticPr fontId="1" type="noConversion"/>
  </si>
  <si>
    <t xml:space="preserve">                    权重</t>
    <phoneticPr fontId="1" type="noConversion"/>
  </si>
  <si>
    <t xml:space="preserve">                   参数</t>
    <phoneticPr fontId="1" type="noConversion"/>
  </si>
  <si>
    <t>优先级</t>
    <phoneticPr fontId="1" type="noConversion"/>
  </si>
  <si>
    <t>难易度</t>
    <phoneticPr fontId="1" type="noConversion"/>
  </si>
  <si>
    <t>心里倾向</t>
    <phoneticPr fontId="1" type="noConversion"/>
  </si>
  <si>
    <t>可创价值</t>
    <phoneticPr fontId="1" type="noConversion"/>
  </si>
  <si>
    <t>容易进入</t>
    <phoneticPr fontId="1" type="noConversion"/>
  </si>
  <si>
    <t>kernel学习</t>
    <phoneticPr fontId="1" type="noConversion"/>
  </si>
  <si>
    <t>注电证书</t>
    <phoneticPr fontId="1" type="noConversion"/>
  </si>
  <si>
    <t>本职工作</t>
    <phoneticPr fontId="1" type="noConversion"/>
  </si>
  <si>
    <t>玩游戏</t>
    <phoneticPr fontId="1" type="noConversion"/>
  </si>
  <si>
    <t>sydney计划</t>
    <phoneticPr fontId="1" type="noConversion"/>
  </si>
  <si>
    <t>时间分配占比</t>
    <phoneticPr fontId="1" type="noConversion"/>
  </si>
  <si>
    <t>副业</t>
    <phoneticPr fontId="1" type="noConversion"/>
  </si>
  <si>
    <t>总体规划</t>
    <phoneticPr fontId="1" type="noConversion"/>
  </si>
  <si>
    <t>网络爬虫</t>
    <phoneticPr fontId="1" type="noConversion"/>
  </si>
  <si>
    <t>分布式计算</t>
    <phoneticPr fontId="1" type="noConversion"/>
  </si>
  <si>
    <t>模型优化</t>
    <phoneticPr fontId="1" type="noConversion"/>
  </si>
  <si>
    <t>UI界面</t>
    <phoneticPr fontId="1" type="noConversion"/>
  </si>
  <si>
    <t>新猫娘计划计划</t>
    <phoneticPr fontId="1" type="noConversion"/>
  </si>
  <si>
    <t>股票分析</t>
    <phoneticPr fontId="1" type="noConversion"/>
  </si>
  <si>
    <t>周用时
（每周50小时来算）</t>
    <phoneticPr fontId="1" type="noConversion"/>
  </si>
  <si>
    <t>总计</t>
    <phoneticPr fontId="1" type="noConversion"/>
  </si>
  <si>
    <t>计算机自由</t>
    <phoneticPr fontId="1" type="noConversion"/>
  </si>
  <si>
    <t>愿景
目标描述</t>
    <phoneticPr fontId="1" type="noConversion"/>
  </si>
  <si>
    <t>知识点+视频+ai
  =快速学习</t>
    <phoneticPr fontId="1" type="noConversion"/>
  </si>
  <si>
    <t>找不到方向时
游戏会带给你启发</t>
    <phoneticPr fontId="1" type="noConversion"/>
  </si>
  <si>
    <t>分布式人工智能</t>
    <phoneticPr fontId="1" type="noConversion"/>
  </si>
  <si>
    <t>也许是财富自由
最快的方式</t>
    <phoneticPr fontId="1" type="noConversion"/>
  </si>
  <si>
    <t>任务1</t>
    <phoneticPr fontId="1" type="noConversion"/>
  </si>
  <si>
    <t>任务2</t>
    <phoneticPr fontId="1" type="noConversion"/>
  </si>
  <si>
    <t>周小时分配</t>
    <phoneticPr fontId="1" type="noConversion"/>
  </si>
  <si>
    <t>已完成任务个数
(单位为小时)</t>
    <phoneticPr fontId="1" type="noConversion"/>
  </si>
  <si>
    <t>时间分配占比
(根据该项目
分到的时间
来计算的)</t>
    <phoneticPr fontId="1" type="noConversion"/>
  </si>
  <si>
    <t>本周应有课时</t>
    <phoneticPr fontId="1" type="noConversion"/>
  </si>
  <si>
    <t>锻炼身体</t>
    <phoneticPr fontId="1" type="noConversion"/>
  </si>
  <si>
    <t>音乐</t>
    <phoneticPr fontId="1" type="noConversion"/>
  </si>
  <si>
    <t>绘画</t>
    <phoneticPr fontId="1" type="noConversion"/>
  </si>
  <si>
    <t>完成情况</t>
    <phoneticPr fontId="1" type="noConversion"/>
  </si>
  <si>
    <t>材料力学</t>
    <phoneticPr fontId="1" type="noConversion"/>
  </si>
  <si>
    <t>page分配</t>
    <phoneticPr fontId="1" type="noConversion"/>
  </si>
  <si>
    <t>从零开始</t>
    <phoneticPr fontId="1" type="noConversion"/>
  </si>
  <si>
    <t>1.读代码</t>
  </si>
  <si>
    <t>2.git了案例</t>
  </si>
  <si>
    <t>搭建了git仓库</t>
  </si>
  <si>
    <t>建立了git仓库</t>
  </si>
  <si>
    <t>网络安全</t>
    <phoneticPr fontId="1" type="noConversion"/>
  </si>
  <si>
    <t>其他</t>
    <phoneticPr fontId="1" type="noConversion"/>
  </si>
  <si>
    <t>其他一些琐事</t>
    <phoneticPr fontId="1" type="noConversion"/>
  </si>
  <si>
    <t>github单人</t>
    <phoneticPr fontId="1" type="noConversion"/>
  </si>
  <si>
    <t>github多人</t>
    <phoneticPr fontId="1" type="noConversion"/>
  </si>
  <si>
    <t>理论力学</t>
    <phoneticPr fontId="1" type="noConversion"/>
  </si>
  <si>
    <t>现已用时长</t>
    <phoneticPr fontId="1" type="noConversion"/>
  </si>
  <si>
    <t>没有身体了
一切都是0</t>
    <phoneticPr fontId="1" type="noConversion"/>
  </si>
  <si>
    <t>音乐自由</t>
    <phoneticPr fontId="1" type="noConversion"/>
  </si>
  <si>
    <t>表达自由</t>
    <phoneticPr fontId="1" type="noConversion"/>
  </si>
  <si>
    <t>耗时少
却能带来回报</t>
    <phoneticPr fontId="1" type="noConversion"/>
  </si>
  <si>
    <t>该做的事做好</t>
    <phoneticPr fontId="1" type="noConversion"/>
  </si>
  <si>
    <t>git的使用</t>
    <phoneticPr fontId="1" type="noConversion"/>
  </si>
  <si>
    <t>github更新</t>
    <phoneticPr fontId="1" type="noConversion"/>
  </si>
  <si>
    <t>陪家人</t>
    <phoneticPr fontId="1" type="noConversion"/>
  </si>
  <si>
    <t>本地服务器搭建</t>
  </si>
  <si>
    <t>教学任务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</si>
</sst>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);[Red]\(0\)"/>
    <numFmt numFmtId="179" formatCode="0.00_);[Red]\(0.00\)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top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77" fontId="0" fillId="0" borderId="8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14" xfId="0" applyNumberFormat="1" applyBorder="1" applyAlignment="1">
      <alignment horizontal="center" vertical="center"/>
    </xf>
    <xf numFmtId="179" fontId="0" fillId="0" borderId="0" xfId="0" applyNumberFormat="1" applyAlignment="1">
      <alignment vertical="center"/>
    </xf>
    <xf numFmtId="179" fontId="0" fillId="0" borderId="13" xfId="0" applyNumberFormat="1" applyBorder="1" applyAlignment="1">
      <alignment horizontal="center" vertical="center"/>
    </xf>
    <xf numFmtId="179" fontId="0" fillId="0" borderId="0" xfId="0" applyNumberFormat="1"/>
    <xf numFmtId="177" fontId="0" fillId="0" borderId="15" xfId="0" applyNumberFormat="1" applyBorder="1" applyAlignment="1">
      <alignment horizontal="center" vertical="center"/>
    </xf>
    <xf numFmtId="177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完成情况预览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36657407407407405"/>
          <c:w val="0.90286351706036749"/>
          <c:h val="0.41737860892388451"/>
        </c:manualLayout>
      </c:layout>
      <c:areaChart>
        <c:grouping val="standard"/>
        <c:varyColors val="0"/>
        <c:ser>
          <c:idx val="1"/>
          <c:order val="1"/>
          <c:tx>
            <c:strRef>
              <c:f>总体规划!$I$3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总体规划!$I$6:$I$17</c:f>
              <c:numCache>
                <c:formatCode>0.0_ </c:formatCode>
                <c:ptCount val="12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0B-44F5-B15D-5EED9475F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4463"/>
        <c:axId val="28336975"/>
      </c:areaChart>
      <c:barChart>
        <c:barDir val="col"/>
        <c:grouping val="clustered"/>
        <c:varyColors val="0"/>
        <c:ser>
          <c:idx val="0"/>
          <c:order val="0"/>
          <c:tx>
            <c:strRef>
              <c:f>总体规划!$H$3</c:f>
              <c:strCache>
                <c:ptCount val="1"/>
                <c:pt idx="0">
                  <c:v>周用时
（每周50小时来算）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总体规划!$H$6:$H$17</c:f>
              <c:numCache>
                <c:formatCode>0.0_ </c:formatCode>
                <c:ptCount val="12"/>
                <c:pt idx="0">
                  <c:v>1.7902813299232736</c:v>
                </c:pt>
                <c:pt idx="1">
                  <c:v>2.8132992327365729</c:v>
                </c:pt>
                <c:pt idx="2">
                  <c:v>6.905370843989771</c:v>
                </c:pt>
                <c:pt idx="3">
                  <c:v>5.1150895140664971</c:v>
                </c:pt>
                <c:pt idx="4">
                  <c:v>3.9641943734015346</c:v>
                </c:pt>
                <c:pt idx="5">
                  <c:v>3.3248081841432229</c:v>
                </c:pt>
                <c:pt idx="6">
                  <c:v>3.1969309462915603</c:v>
                </c:pt>
                <c:pt idx="7">
                  <c:v>5.7544757033248084</c:v>
                </c:pt>
                <c:pt idx="8">
                  <c:v>3.5805626598465472</c:v>
                </c:pt>
                <c:pt idx="9">
                  <c:v>3.4526854219948855</c:v>
                </c:pt>
                <c:pt idx="10">
                  <c:v>5.1150895140664971</c:v>
                </c:pt>
                <c:pt idx="11">
                  <c:v>4.9872122762148337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0B-44F5-B15D-5EED9475F7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8344463"/>
        <c:axId val="28336975"/>
      </c:barChart>
      <c:catAx>
        <c:axId val="2834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36975"/>
        <c:crosses val="autoZero"/>
        <c:auto val="1"/>
        <c:lblAlgn val="ctr"/>
        <c:lblOffset val="100"/>
        <c:noMultiLvlLbl val="0"/>
      </c:catAx>
      <c:valAx>
        <c:axId val="2833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4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FA5A9B5-DA07-C3F9-F800-FF6E08D49493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2</xdr:row>
      <xdr:rowOff>28575</xdr:rowOff>
    </xdr:from>
    <xdr:to>
      <xdr:col>0</xdr:col>
      <xdr:colOff>1181100</xdr:colOff>
      <xdr:row>4</xdr:row>
      <xdr:rowOff>171450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78B242B7-DC50-BB04-830D-EE5B57CD12BC}"/>
            </a:ext>
          </a:extLst>
        </xdr:cNvPr>
        <xdr:cNvCxnSpPr/>
      </xdr:nvCxnSpPr>
      <xdr:spPr>
        <a:xfrm>
          <a:off x="1409700" y="390525"/>
          <a:ext cx="1143000" cy="8953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833436</xdr:colOff>
      <xdr:row>19</xdr:row>
      <xdr:rowOff>52386</xdr:rowOff>
    </xdr:from>
    <xdr:to>
      <xdr:col>8</xdr:col>
      <xdr:colOff>47625</xdr:colOff>
      <xdr:row>40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2BD85BA-077B-FACD-7072-1724D2D61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BBB675AC-B3D5-4CCC-BA2E-9B9CA4807207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275AB58-0E44-415F-8461-6BF689FF2D95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8F1AF678-A6FB-4A0B-A22D-D0769EC575BE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36F65438-52D5-439F-8E99-2DF1A5F13EEE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C727F543-F628-4075-9B86-9C4AC61AC1A9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9F977E27-4A2D-412A-B91E-117F07A55E80}"/>
            </a:ext>
          </a:extLst>
        </xdr:cNvPr>
        <xdr:cNvCxnSpPr/>
      </xdr:nvCxnSpPr>
      <xdr:spPr>
        <a:xfrm>
          <a:off x="1352550" y="371475"/>
          <a:ext cx="1200150" cy="9144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338C7165-B8A4-44FD-AB18-DE2C0B70A0B0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686E0336-8144-41D0-8199-D96918D0B7BD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7049F2F3-3FB7-4F6B-AF50-08FEDBE2556E}"/>
            </a:ext>
          </a:extLst>
        </xdr:cNvPr>
        <xdr:cNvCxnSpPr/>
      </xdr:nvCxnSpPr>
      <xdr:spPr>
        <a:xfrm>
          <a:off x="19050" y="371475"/>
          <a:ext cx="666750" cy="1809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817D1FCE-89F7-42FF-868E-90C19516BC85}"/>
            </a:ext>
          </a:extLst>
        </xdr:cNvPr>
        <xdr:cNvCxnSpPr/>
      </xdr:nvCxnSpPr>
      <xdr:spPr>
        <a:xfrm>
          <a:off x="0" y="371475"/>
          <a:ext cx="685800" cy="5238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"/>
  <sheetViews>
    <sheetView tabSelected="1" topLeftCell="A4" workbookViewId="0">
      <selection activeCell="G17" sqref="G17"/>
    </sheetView>
  </sheetViews>
  <sheetFormatPr defaultRowHeight="14.25" x14ac:dyDescent="0.2"/>
  <cols>
    <col min="1" max="1" width="15.625" customWidth="1"/>
    <col min="6" max="6" width="9" style="26"/>
    <col min="7" max="7" width="14.25" style="24" customWidth="1"/>
    <col min="8" max="9" width="14.875" style="2" customWidth="1"/>
    <col min="10" max="10" width="14.25" style="2" customWidth="1"/>
    <col min="12" max="12" width="12.625" customWidth="1"/>
  </cols>
  <sheetData>
    <row r="1" spans="1:12" x14ac:dyDescent="0.2">
      <c r="A1" s="34" t="s">
        <v>15</v>
      </c>
      <c r="B1" s="35"/>
      <c r="C1" s="35"/>
      <c r="D1" s="35"/>
      <c r="E1" s="35"/>
      <c r="F1" s="35"/>
      <c r="G1" s="35"/>
      <c r="H1" s="35"/>
      <c r="I1" s="35"/>
      <c r="J1" s="35"/>
    </row>
    <row r="2" spans="1:12" x14ac:dyDescent="0.2">
      <c r="A2" s="36"/>
      <c r="B2" s="37"/>
      <c r="C2" s="37"/>
      <c r="D2" s="37"/>
      <c r="E2" s="37"/>
      <c r="F2" s="37"/>
      <c r="G2" s="37"/>
      <c r="H2" s="37"/>
      <c r="I2" s="37"/>
      <c r="J2" s="37"/>
    </row>
    <row r="3" spans="1:12" ht="34.5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29" t="s">
        <v>13</v>
      </c>
      <c r="H3" s="30" t="s">
        <v>22</v>
      </c>
      <c r="I3" s="38" t="s">
        <v>39</v>
      </c>
      <c r="J3" s="32" t="s">
        <v>25</v>
      </c>
    </row>
    <row r="4" spans="1:12" ht="24.75" customHeight="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29"/>
      <c r="H4" s="31"/>
      <c r="I4" s="39"/>
      <c r="J4" s="33"/>
    </row>
    <row r="5" spans="1:12" x14ac:dyDescent="0.2">
      <c r="A5" s="5" t="s">
        <v>0</v>
      </c>
      <c r="B5" s="33"/>
      <c r="C5" s="33"/>
      <c r="D5" s="33"/>
      <c r="E5" s="33"/>
      <c r="F5" s="29"/>
      <c r="G5" s="29"/>
      <c r="H5" s="31"/>
      <c r="I5" s="40"/>
      <c r="J5" s="33"/>
    </row>
    <row r="6" spans="1:12" ht="32.25" customHeight="1" x14ac:dyDescent="0.2">
      <c r="A6" s="6" t="s">
        <v>8</v>
      </c>
      <c r="B6" s="6">
        <v>10</v>
      </c>
      <c r="C6" s="6">
        <v>10</v>
      </c>
      <c r="D6" s="6">
        <v>0</v>
      </c>
      <c r="E6" s="6">
        <v>2</v>
      </c>
      <c r="F6" s="21">
        <f>(B6*$B$3+C6*$C$3+D6*$D$3+E6*$E$3)/($B$3+$C$3+$D$3+$E$3)</f>
        <v>2.333333333333333</v>
      </c>
      <c r="G6" s="21">
        <f>F6/SUM(F:F)-COUNTBLANK(F:F)*$F$1</f>
        <v>3.5805626598465472E-2</v>
      </c>
      <c r="H6" s="11">
        <f>G6*$L$7</f>
        <v>1.7902813299232736</v>
      </c>
      <c r="I6" s="11">
        <f>kernel学习!I18</f>
        <v>3</v>
      </c>
      <c r="J6" s="6" t="s">
        <v>24</v>
      </c>
      <c r="L6" t="s">
        <v>35</v>
      </c>
    </row>
    <row r="7" spans="1:12" ht="32.25" customHeight="1" x14ac:dyDescent="0.2">
      <c r="A7" s="6" t="s">
        <v>9</v>
      </c>
      <c r="B7" s="6">
        <v>9</v>
      </c>
      <c r="C7" s="6">
        <v>5</v>
      </c>
      <c r="D7" s="6">
        <v>7</v>
      </c>
      <c r="E7" s="6">
        <v>0</v>
      </c>
      <c r="F7" s="21">
        <f t="shared" ref="F7:F17" si="0">(B7*$B$3+C7*$C$3+D7*$D$3+E7*$E$3)/($B$3+$C$3+$D$3+$E$3)</f>
        <v>3.6666666666666665</v>
      </c>
      <c r="G7" s="21">
        <f t="shared" ref="G7:G17" si="1">F7/SUM(F:F)-COUNTBLANK(F:F)*$F$1</f>
        <v>5.6265984654731462E-2</v>
      </c>
      <c r="H7" s="11">
        <f t="shared" ref="H7:H17" si="2">G7*$L$7</f>
        <v>2.8132992327365729</v>
      </c>
      <c r="I7" s="11">
        <f>注册电气!I18</f>
        <v>0</v>
      </c>
      <c r="J7" s="10" t="s">
        <v>26</v>
      </c>
      <c r="L7">
        <v>50</v>
      </c>
    </row>
    <row r="8" spans="1:12" ht="29.25" customHeight="1" x14ac:dyDescent="0.2">
      <c r="A8" s="6" t="s">
        <v>10</v>
      </c>
      <c r="B8" s="6">
        <v>0</v>
      </c>
      <c r="C8" s="6">
        <v>2</v>
      </c>
      <c r="D8" s="6">
        <v>10</v>
      </c>
      <c r="E8" s="6">
        <v>10</v>
      </c>
      <c r="F8" s="21">
        <f t="shared" si="0"/>
        <v>9</v>
      </c>
      <c r="G8" s="21">
        <f t="shared" si="1"/>
        <v>0.13810741687979541</v>
      </c>
      <c r="H8" s="11">
        <f t="shared" si="2"/>
        <v>6.905370843989771</v>
      </c>
      <c r="I8" s="11">
        <v>3</v>
      </c>
      <c r="J8" s="6" t="s">
        <v>58</v>
      </c>
      <c r="L8" t="s">
        <v>53</v>
      </c>
    </row>
    <row r="9" spans="1:12" ht="44.25" customHeight="1" x14ac:dyDescent="0.2">
      <c r="A9" s="6" t="s">
        <v>11</v>
      </c>
      <c r="B9" s="6">
        <v>0</v>
      </c>
      <c r="C9" s="6">
        <v>10</v>
      </c>
      <c r="D9" s="6">
        <v>0</v>
      </c>
      <c r="E9" s="6">
        <v>10</v>
      </c>
      <c r="F9" s="21">
        <f t="shared" si="0"/>
        <v>6.6666666666666661</v>
      </c>
      <c r="G9" s="21">
        <f t="shared" si="1"/>
        <v>0.10230179028132994</v>
      </c>
      <c r="H9" s="11">
        <f t="shared" si="2"/>
        <v>5.1150895140664971</v>
      </c>
      <c r="I9" s="11">
        <v>0</v>
      </c>
      <c r="J9" s="10" t="s">
        <v>27</v>
      </c>
      <c r="L9" s="28">
        <f>I18</f>
        <v>16</v>
      </c>
    </row>
    <row r="10" spans="1:12" ht="32.25" customHeight="1" x14ac:dyDescent="0.2">
      <c r="A10" s="6" t="s">
        <v>14</v>
      </c>
      <c r="B10" s="6">
        <v>6</v>
      </c>
      <c r="C10" s="6">
        <v>3</v>
      </c>
      <c r="D10" s="6">
        <v>7</v>
      </c>
      <c r="E10" s="6">
        <v>5</v>
      </c>
      <c r="F10" s="21">
        <f t="shared" si="0"/>
        <v>5.1666666666666661</v>
      </c>
      <c r="G10" s="21">
        <f t="shared" si="1"/>
        <v>7.9283887468030695E-2</v>
      </c>
      <c r="H10" s="11">
        <f t="shared" si="2"/>
        <v>3.9641943734015346</v>
      </c>
      <c r="I10" s="11">
        <v>0</v>
      </c>
      <c r="J10" s="10" t="s">
        <v>57</v>
      </c>
    </row>
    <row r="11" spans="1:12" ht="32.25" customHeight="1" x14ac:dyDescent="0.2">
      <c r="A11" s="6" t="s">
        <v>12</v>
      </c>
      <c r="B11" s="6">
        <v>10</v>
      </c>
      <c r="C11" s="6">
        <v>5</v>
      </c>
      <c r="D11" s="6">
        <v>4</v>
      </c>
      <c r="E11" s="6">
        <v>7</v>
      </c>
      <c r="F11" s="21">
        <f t="shared" si="0"/>
        <v>4.333333333333333</v>
      </c>
      <c r="G11" s="21">
        <f t="shared" si="1"/>
        <v>6.6496163682864456E-2</v>
      </c>
      <c r="H11" s="11">
        <f t="shared" si="2"/>
        <v>3.3248081841432229</v>
      </c>
      <c r="I11" s="11">
        <f>Sydney项目!I18</f>
        <v>1</v>
      </c>
      <c r="J11" s="6" t="s">
        <v>28</v>
      </c>
    </row>
    <row r="12" spans="1:12" ht="32.25" customHeight="1" x14ac:dyDescent="0.2">
      <c r="A12" s="6" t="s">
        <v>21</v>
      </c>
      <c r="B12" s="6">
        <v>7</v>
      </c>
      <c r="C12" s="6">
        <v>3</v>
      </c>
      <c r="D12" s="6">
        <v>2</v>
      </c>
      <c r="E12" s="6">
        <v>10</v>
      </c>
      <c r="F12" s="21">
        <f t="shared" si="0"/>
        <v>4.1666666666666661</v>
      </c>
      <c r="G12" s="21">
        <f t="shared" si="1"/>
        <v>6.3938618925831206E-2</v>
      </c>
      <c r="H12" s="11">
        <f t="shared" si="2"/>
        <v>3.1969309462915603</v>
      </c>
      <c r="I12" s="11">
        <v>0</v>
      </c>
      <c r="J12" s="10" t="s">
        <v>29</v>
      </c>
    </row>
    <row r="13" spans="1:12" ht="32.25" customHeight="1" x14ac:dyDescent="0.2">
      <c r="A13" s="6" t="s">
        <v>36</v>
      </c>
      <c r="B13" s="6">
        <v>0</v>
      </c>
      <c r="C13" s="6">
        <v>5</v>
      </c>
      <c r="D13" s="6">
        <v>7</v>
      </c>
      <c r="E13" s="6">
        <v>7</v>
      </c>
      <c r="F13" s="21">
        <f t="shared" si="0"/>
        <v>7.4999999999999991</v>
      </c>
      <c r="G13" s="21">
        <f t="shared" si="1"/>
        <v>0.11508951406649617</v>
      </c>
      <c r="H13" s="11">
        <f t="shared" si="2"/>
        <v>5.7544757033248084</v>
      </c>
      <c r="I13" s="11">
        <v>0</v>
      </c>
      <c r="J13" s="10" t="s">
        <v>54</v>
      </c>
    </row>
    <row r="14" spans="1:12" ht="32.25" customHeight="1" x14ac:dyDescent="0.2">
      <c r="A14" s="6" t="s">
        <v>37</v>
      </c>
      <c r="B14" s="6">
        <v>5</v>
      </c>
      <c r="C14" s="6">
        <v>7</v>
      </c>
      <c r="D14" s="6">
        <v>1</v>
      </c>
      <c r="E14" s="6">
        <v>8</v>
      </c>
      <c r="F14" s="21">
        <f t="shared" si="0"/>
        <v>4.6666666666666661</v>
      </c>
      <c r="G14" s="21">
        <f t="shared" si="1"/>
        <v>7.1611253196930943E-2</v>
      </c>
      <c r="H14" s="11">
        <f t="shared" si="2"/>
        <v>3.5805626598465472</v>
      </c>
      <c r="I14" s="11">
        <v>0</v>
      </c>
      <c r="J14" s="6" t="s">
        <v>55</v>
      </c>
    </row>
    <row r="15" spans="1:12" ht="32.25" customHeight="1" x14ac:dyDescent="0.2">
      <c r="A15" s="6" t="s">
        <v>38</v>
      </c>
      <c r="B15" s="6">
        <v>10</v>
      </c>
      <c r="C15" s="6">
        <v>10</v>
      </c>
      <c r="D15" s="6">
        <v>5</v>
      </c>
      <c r="E15" s="6">
        <v>1</v>
      </c>
      <c r="F15" s="21">
        <f t="shared" si="0"/>
        <v>4.5</v>
      </c>
      <c r="G15" s="21">
        <f t="shared" si="1"/>
        <v>6.9053708439897707E-2</v>
      </c>
      <c r="H15" s="11">
        <f t="shared" si="2"/>
        <v>3.4526854219948855</v>
      </c>
      <c r="I15" s="11">
        <v>0</v>
      </c>
      <c r="J15" s="6" t="s">
        <v>56</v>
      </c>
    </row>
    <row r="16" spans="1:12" ht="32.25" customHeight="1" x14ac:dyDescent="0.2">
      <c r="A16" s="6" t="s">
        <v>47</v>
      </c>
      <c r="B16" s="6">
        <v>8</v>
      </c>
      <c r="C16" s="6">
        <v>7</v>
      </c>
      <c r="D16" s="6">
        <v>6</v>
      </c>
      <c r="E16" s="6">
        <v>8</v>
      </c>
      <c r="F16" s="21">
        <f t="shared" si="0"/>
        <v>6.6666666666666661</v>
      </c>
      <c r="G16" s="21">
        <f t="shared" si="1"/>
        <v>0.10230179028132994</v>
      </c>
      <c r="H16" s="11">
        <f t="shared" si="2"/>
        <v>5.1150895140664971</v>
      </c>
      <c r="I16" s="11">
        <f>网络安全!I18</f>
        <v>2</v>
      </c>
      <c r="J16" s="6"/>
    </row>
    <row r="17" spans="1:10" ht="32.25" customHeight="1" thickBot="1" x14ac:dyDescent="0.25">
      <c r="A17" s="3" t="s">
        <v>48</v>
      </c>
      <c r="B17" s="3">
        <v>1</v>
      </c>
      <c r="C17" s="3">
        <v>10</v>
      </c>
      <c r="D17" s="3">
        <v>0</v>
      </c>
      <c r="E17" s="3">
        <v>10</v>
      </c>
      <c r="F17" s="22">
        <f t="shared" si="0"/>
        <v>6.4999999999999991</v>
      </c>
      <c r="G17" s="22">
        <f t="shared" si="1"/>
        <v>9.9744245524296671E-2</v>
      </c>
      <c r="H17" s="12">
        <f t="shared" si="2"/>
        <v>4.9872122762148337</v>
      </c>
      <c r="I17" s="12">
        <f>其他!I18</f>
        <v>7</v>
      </c>
      <c r="J17" s="3"/>
    </row>
    <row r="18" spans="1:10" ht="32.25" customHeight="1" thickBot="1" x14ac:dyDescent="0.25">
      <c r="A18" s="15" t="s">
        <v>23</v>
      </c>
      <c r="B18" s="16"/>
      <c r="C18" s="16"/>
      <c r="D18" s="16"/>
      <c r="E18" s="16"/>
      <c r="F18" s="25"/>
      <c r="G18" s="23">
        <f>SUM(G6:G17)</f>
        <v>1</v>
      </c>
      <c r="H18" s="13">
        <f>SUM(H6:H17)</f>
        <v>50.000000000000007</v>
      </c>
      <c r="I18" s="27">
        <f>SUM(I6:I17)</f>
        <v>16</v>
      </c>
      <c r="J18" s="14"/>
    </row>
  </sheetData>
  <mergeCells count="10">
    <mergeCell ref="G3:G5"/>
    <mergeCell ref="H3:H5"/>
    <mergeCell ref="J3:J5"/>
    <mergeCell ref="A1:J2"/>
    <mergeCell ref="B4:B5"/>
    <mergeCell ref="C4:C5"/>
    <mergeCell ref="D4:D5"/>
    <mergeCell ref="E4:E5"/>
    <mergeCell ref="F3:F5"/>
    <mergeCell ref="I3:I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9D4B7-6400-45AF-89F2-111F3599DF3A}">
  <sheetPr codeName="Sheet3"/>
  <dimension ref="A1:K18"/>
  <sheetViews>
    <sheetView workbookViewId="0">
      <selection activeCell="H7" sqref="H7"/>
    </sheetView>
  </sheetViews>
  <sheetFormatPr defaultRowHeight="14.25" x14ac:dyDescent="0.2"/>
  <cols>
    <col min="1" max="1" width="14.625" customWidth="1"/>
    <col min="6" max="6" width="9" style="26"/>
    <col min="7" max="8" width="16.125" customWidth="1"/>
    <col min="9" max="9" width="16.125" style="20" customWidth="1"/>
    <col min="10" max="10" width="17.37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41</v>
      </c>
      <c r="B6" s="6">
        <v>10</v>
      </c>
      <c r="C6" s="6">
        <v>10</v>
      </c>
      <c r="D6" s="6">
        <v>0</v>
      </c>
      <c r="E6" s="6">
        <v>2</v>
      </c>
      <c r="F6" s="21">
        <f>(B6*B3+C6*C3+D6*D3+E6*E3)/(B3+C3+D3+E3)</f>
        <v>2.333333333333333</v>
      </c>
      <c r="G6" s="9">
        <f>F6/SUM(F6:F9)</f>
        <v>0.38888888888888884</v>
      </c>
      <c r="H6" s="17">
        <f>总体规划!$H$6*G6</f>
        <v>0.69622051719238409</v>
      </c>
      <c r="I6" s="19">
        <f>COUNTA(J6:R6)</f>
        <v>2</v>
      </c>
      <c r="J6" t="s">
        <v>43</v>
      </c>
      <c r="K6" t="s">
        <v>44</v>
      </c>
    </row>
    <row r="7" spans="1:11" x14ac:dyDescent="0.2">
      <c r="A7" s="6" t="s">
        <v>42</v>
      </c>
      <c r="B7" s="6">
        <v>9</v>
      </c>
      <c r="C7" s="6">
        <v>5</v>
      </c>
      <c r="D7" s="6">
        <v>7</v>
      </c>
      <c r="E7" s="6">
        <v>0</v>
      </c>
      <c r="F7" s="21">
        <f>(B7*B3+C7*C3+D7*D3+E7*E3)/(B3+C3+D3+E3)</f>
        <v>3.6666666666666665</v>
      </c>
      <c r="G7" s="9">
        <f>F7/SUM(F6:F9)</f>
        <v>0.61111111111111105</v>
      </c>
      <c r="H7" s="17">
        <f>总体规划!$H$6*G7</f>
        <v>1.0940608127308893</v>
      </c>
      <c r="I7" s="19">
        <f>COUNTA(J7:R7)</f>
        <v>1</v>
      </c>
      <c r="J7" t="s">
        <v>45</v>
      </c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3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B5E80-51F0-4B6D-8D14-C732A3C86529}">
  <sheetPr codeName="Sheet4"/>
  <dimension ref="A1:K18"/>
  <sheetViews>
    <sheetView workbookViewId="0">
      <selection activeCell="H6" sqref="H6"/>
    </sheetView>
  </sheetViews>
  <sheetFormatPr defaultRowHeight="14.25" x14ac:dyDescent="0.2"/>
  <cols>
    <col min="6" max="6" width="9" style="26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40</v>
      </c>
      <c r="B6" s="6">
        <v>10</v>
      </c>
      <c r="C6" s="6">
        <v>10</v>
      </c>
      <c r="D6" s="6">
        <v>0</v>
      </c>
      <c r="E6" s="6">
        <v>2</v>
      </c>
      <c r="F6" s="21">
        <f>(B6*B3+C6*C3+D6*D3+E6*E3)/(B3+C3+D3+E3)</f>
        <v>2.333333333333333</v>
      </c>
      <c r="G6" s="9">
        <f>F6/SUM(F6:F9)</f>
        <v>1</v>
      </c>
      <c r="H6" s="17">
        <f>总体规划!$H$7*G6</f>
        <v>2.8132992327365729</v>
      </c>
      <c r="I6" s="19">
        <f>COUNTA(J6:R6)</f>
        <v>0</v>
      </c>
    </row>
    <row r="7" spans="1:11" x14ac:dyDescent="0.2">
      <c r="A7" s="6" t="s">
        <v>52</v>
      </c>
      <c r="B7" s="6"/>
      <c r="C7" s="6"/>
      <c r="D7" s="6"/>
      <c r="E7" s="6"/>
      <c r="F7" s="21"/>
      <c r="G7" s="9"/>
      <c r="H7" s="17"/>
      <c r="I7" s="19"/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0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78E7-2A94-47DF-AB97-2FE159F14682}">
  <sheetPr codeName="Sheet2"/>
  <dimension ref="A1:K18"/>
  <sheetViews>
    <sheetView zoomScaleNormal="100" workbookViewId="0">
      <selection activeCell="H6" sqref="H6"/>
    </sheetView>
  </sheetViews>
  <sheetFormatPr defaultRowHeight="14.25" x14ac:dyDescent="0.2"/>
  <cols>
    <col min="1" max="1" width="14.625" customWidth="1"/>
    <col min="7" max="8" width="16.125" customWidth="1"/>
    <col min="9" max="9" width="16.125" style="20" customWidth="1"/>
    <col min="10" max="10" width="14.12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16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0.23448275862068965</v>
      </c>
      <c r="H6" s="17">
        <f>总体规划!$H$11*G6</f>
        <v>0.77961019490254879</v>
      </c>
      <c r="I6" s="19">
        <f>COUNTA(J6:R6)</f>
        <v>0</v>
      </c>
    </row>
    <row r="7" spans="1:11" x14ac:dyDescent="0.2">
      <c r="A7" s="6" t="s">
        <v>17</v>
      </c>
      <c r="B7" s="6">
        <v>9</v>
      </c>
      <c r="C7" s="6">
        <v>5</v>
      </c>
      <c r="D7" s="6">
        <v>7</v>
      </c>
      <c r="E7" s="6">
        <v>0</v>
      </c>
      <c r="F7" s="6">
        <f>(B7*B3+C7*C3+D7*D3+E7*E3)/(B3+C3+D3+E3)</f>
        <v>5</v>
      </c>
      <c r="G7" s="9">
        <f>F7/SUM(F6:F9)</f>
        <v>0.27586206896551724</v>
      </c>
      <c r="H7" s="17">
        <f>总体规划!$H$11*G7</f>
        <v>0.91718846459123393</v>
      </c>
      <c r="I7" s="19">
        <f>COUNTA(J7:R7)</f>
        <v>1</v>
      </c>
      <c r="J7" t="s">
        <v>46</v>
      </c>
    </row>
    <row r="8" spans="1:11" x14ac:dyDescent="0.2">
      <c r="A8" s="6" t="s">
        <v>18</v>
      </c>
      <c r="B8" s="6">
        <v>10</v>
      </c>
      <c r="C8" s="6">
        <v>5</v>
      </c>
      <c r="D8" s="6">
        <v>5</v>
      </c>
      <c r="E8" s="6">
        <v>0</v>
      </c>
      <c r="F8" s="6">
        <f>(B8*B3+C8*C3+D8*D3+E8*E3)/(B3+C3+D3+E3)</f>
        <v>4.375</v>
      </c>
      <c r="G8" s="9">
        <f>F8/SUM(F6:F9)</f>
        <v>0.2413793103448276</v>
      </c>
      <c r="H8" s="17">
        <f>总体规划!$H$11*G8</f>
        <v>0.80253990651732965</v>
      </c>
      <c r="I8" s="19">
        <f t="shared" ref="I8:I9" si="0">COUNTA(J8:R8)</f>
        <v>0</v>
      </c>
    </row>
    <row r="9" spans="1:11" x14ac:dyDescent="0.2">
      <c r="A9" s="6" t="s">
        <v>19</v>
      </c>
      <c r="B9" s="6">
        <v>5</v>
      </c>
      <c r="C9" s="6">
        <v>5</v>
      </c>
      <c r="D9" s="6">
        <v>5</v>
      </c>
      <c r="E9" s="6">
        <v>3</v>
      </c>
      <c r="F9" s="6">
        <f>(B9*B3+C9*C3+D9*D3+E9*E3)/(B3+C3+D3+E3)</f>
        <v>4.5</v>
      </c>
      <c r="G9" s="9">
        <f>F9/SUM(F6:F9)</f>
        <v>0.24827586206896551</v>
      </c>
      <c r="H9" s="17">
        <f>总体规划!$H$11*G9</f>
        <v>0.82546961813211051</v>
      </c>
      <c r="I9" s="19">
        <f t="shared" si="0"/>
        <v>0</v>
      </c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1</v>
      </c>
    </row>
  </sheetData>
  <mergeCells count="9">
    <mergeCell ref="H3:H5"/>
    <mergeCell ref="I3:I5"/>
    <mergeCell ref="A1:G2"/>
    <mergeCell ref="F3:F5"/>
    <mergeCell ref="G3:G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AC05B-B0AF-4C3A-A67C-3F999C39298E}">
  <dimension ref="A1:K18"/>
  <sheetViews>
    <sheetView workbookViewId="0">
      <selection activeCell="I6" sqref="I6"/>
    </sheetView>
  </sheetViews>
  <sheetFormatPr defaultRowHeight="14.25" x14ac:dyDescent="0.2"/>
  <cols>
    <col min="1" max="1" width="15.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63</v>
      </c>
      <c r="B6" s="6">
        <v>4</v>
      </c>
      <c r="C6" s="6">
        <v>7</v>
      </c>
      <c r="D6" s="6">
        <v>7</v>
      </c>
      <c r="E6" s="6">
        <v>8</v>
      </c>
      <c r="F6" s="21">
        <f>(B6*B3+C6*C3+D6*D3+E6*E3)/(B3+C3+D3+E3)</f>
        <v>7.8333333333333321</v>
      </c>
      <c r="G6" s="9">
        <f>F6/SUM(F6:F9)</f>
        <v>1</v>
      </c>
      <c r="H6" s="17">
        <f>总体规划!$H$16*G6</f>
        <v>5.1150895140664971</v>
      </c>
      <c r="I6" s="19">
        <f>COUNTA(J6:R6)</f>
        <v>2</v>
      </c>
      <c r="J6" t="s">
        <v>43</v>
      </c>
      <c r="K6" t="s">
        <v>44</v>
      </c>
    </row>
    <row r="7" spans="1:11" x14ac:dyDescent="0.2">
      <c r="A7" s="6"/>
      <c r="B7" s="6"/>
      <c r="C7" s="6"/>
      <c r="D7" s="6"/>
      <c r="E7" s="6"/>
      <c r="F7" s="21"/>
      <c r="G7" s="9"/>
      <c r="H7" s="17"/>
      <c r="I7" s="19"/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2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0FF1-5C6E-46EF-9238-7AB7E91D9D0C}">
  <sheetPr codeName="Sheet5"/>
  <dimension ref="A1:M18"/>
  <sheetViews>
    <sheetView workbookViewId="0">
      <selection activeCell="H7" sqref="H7"/>
    </sheetView>
  </sheetViews>
  <sheetFormatPr defaultRowHeight="14.25" x14ac:dyDescent="0.2"/>
  <cols>
    <col min="1" max="1" width="15.125" customWidth="1"/>
    <col min="8" max="8" width="11.125" customWidth="1"/>
    <col min="10" max="10" width="11.375" customWidth="1"/>
    <col min="12" max="12" width="12.875" customWidth="1"/>
  </cols>
  <sheetData>
    <row r="1" spans="1:13" x14ac:dyDescent="0.2">
      <c r="A1" s="33" t="s">
        <v>49</v>
      </c>
      <c r="B1" s="33"/>
      <c r="C1" s="33"/>
      <c r="D1" s="33"/>
      <c r="E1" s="33"/>
      <c r="F1" s="33"/>
      <c r="G1" s="33"/>
      <c r="H1" s="2"/>
      <c r="I1" s="18"/>
    </row>
    <row r="2" spans="1:13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3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3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3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3" x14ac:dyDescent="0.2">
      <c r="A6" s="6" t="s">
        <v>59</v>
      </c>
      <c r="B6" s="6"/>
      <c r="C6" s="6"/>
      <c r="D6" s="6"/>
      <c r="E6" s="6"/>
      <c r="F6" s="6"/>
      <c r="G6" s="9"/>
      <c r="H6" s="17">
        <v>5</v>
      </c>
      <c r="I6" s="19">
        <f>COUNTA(J6:R6)</f>
        <v>4</v>
      </c>
      <c r="J6" t="s">
        <v>50</v>
      </c>
      <c r="K6" t="s">
        <v>51</v>
      </c>
      <c r="L6" t="s">
        <v>60</v>
      </c>
      <c r="M6" t="s">
        <v>62</v>
      </c>
    </row>
    <row r="7" spans="1:13" x14ac:dyDescent="0.2">
      <c r="A7" s="6" t="s">
        <v>61</v>
      </c>
      <c r="B7" s="6"/>
      <c r="C7" s="6"/>
      <c r="D7" s="6"/>
      <c r="E7" s="6"/>
      <c r="F7" s="6"/>
      <c r="G7" s="9"/>
      <c r="H7" s="17">
        <v>10</v>
      </c>
      <c r="I7" s="19">
        <v>3</v>
      </c>
    </row>
    <row r="8" spans="1:13" x14ac:dyDescent="0.2">
      <c r="A8" s="6"/>
      <c r="B8" s="6"/>
      <c r="C8" s="6"/>
      <c r="D8" s="6"/>
      <c r="E8" s="6"/>
      <c r="F8" s="6"/>
      <c r="G8" s="9"/>
      <c r="H8" s="17"/>
      <c r="I8" s="19"/>
    </row>
    <row r="9" spans="1:13" x14ac:dyDescent="0.2">
      <c r="A9" s="6"/>
      <c r="B9" s="6"/>
      <c r="C9" s="6"/>
      <c r="D9" s="6"/>
      <c r="E9" s="6"/>
      <c r="F9" s="6"/>
      <c r="G9" s="9"/>
      <c r="H9" s="17"/>
      <c r="I9" s="19"/>
    </row>
    <row r="10" spans="1:13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3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3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3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3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3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3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7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总体规划</vt:lpstr>
      <vt:lpstr>kernel学习</vt:lpstr>
      <vt:lpstr>注册电气</vt:lpstr>
      <vt:lpstr>Sydney项目</vt:lpstr>
      <vt:lpstr>网络安全</vt:lpstr>
      <vt:lpstr>其他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殷建民</dc:creator>
  <cp:lastModifiedBy>殷建民</cp:lastModifiedBy>
  <dcterms:created xsi:type="dcterms:W3CDTF">2015-06-05T18:17:20Z</dcterms:created>
  <dcterms:modified xsi:type="dcterms:W3CDTF">2023-02-24T14:31:27Z</dcterms:modified>
</cp:coreProperties>
</file>